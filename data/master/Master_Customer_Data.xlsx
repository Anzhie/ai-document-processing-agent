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ustomer " sheetId="1" r:id="rId4"/>
  </sheets>
  <definedNames/>
  <calcPr/>
  <extLst>
    <ext uri="GoogleSheetsCustomDataVersion2">
      <go:sheetsCustomData xmlns:go="http://customooxmlschemas.google.com/" r:id="rId5" roundtripDataChecksum="7aLsbP8079NE3oRYQVbDzoX3vvflnoNnU94Ut3rEvtY="/>
    </ext>
  </extLst>
</workbook>
</file>

<file path=xl/sharedStrings.xml><?xml version="1.0" encoding="utf-8"?>
<sst xmlns="http://schemas.openxmlformats.org/spreadsheetml/2006/main" count="100" uniqueCount="71">
  <si>
    <t>Supplier master ID</t>
  </si>
  <si>
    <t>Supplier no.</t>
  </si>
  <si>
    <t>Legal name</t>
  </si>
  <si>
    <t>Search name</t>
  </si>
  <si>
    <t>Street</t>
  </si>
  <si>
    <t>Postcode</t>
  </si>
  <si>
    <t>City</t>
  </si>
  <si>
    <t>Country</t>
  </si>
  <si>
    <t>Email</t>
  </si>
  <si>
    <t>Phone</t>
  </si>
  <si>
    <t>Payment terms</t>
  </si>
  <si>
    <t>Currency</t>
  </si>
  <si>
    <t>Active</t>
  </si>
  <si>
    <t>Test coverage</t>
  </si>
  <si>
    <t>SM-10001</t>
  </si>
  <si>
    <t>SUP-101</t>
  </si>
  <si>
    <t>Penguin Random House</t>
  </si>
  <si>
    <t>PENGUIN RANDOM HOUSE</t>
  </si>
  <si>
    <t>Broadway 1745</t>
  </si>
  <si>
    <t>New York</t>
  </si>
  <si>
    <t>USA</t>
  </si>
  <si>
    <t>s.jenkins@prh.com</t>
  </si>
  <si>
    <t>30 days net</t>
  </si>
  <si>
    <t>USD</t>
  </si>
  <si>
    <t>Yes</t>
  </si>
  <si>
    <t>Full match</t>
  </si>
  <si>
    <t>SM-10002</t>
  </si>
  <si>
    <t>SUP-102</t>
  </si>
  <si>
    <t>HarperCollins Publishers</t>
  </si>
  <si>
    <t>HARPERCOLLINS PUBLISHERS</t>
  </si>
  <si>
    <t>Broadway 195</t>
  </si>
  <si>
    <t>m.davis@harpercollins.com</t>
  </si>
  <si>
    <t>SM-10003</t>
  </si>
  <si>
    <t>SUP-103</t>
  </si>
  <si>
    <t>Simon &amp; Schuster</t>
  </si>
  <si>
    <t>SIMON &amp; SCHUSTER</t>
  </si>
  <si>
    <t>Avenue of the Americas 1230</t>
  </si>
  <si>
    <t>elena.r@simonandschuster.com</t>
  </si>
  <si>
    <t>45 days net</t>
  </si>
  <si>
    <t>SM-10004</t>
  </si>
  <si>
    <t>SUP-104</t>
  </si>
  <si>
    <t>Hachette Book Group</t>
  </si>
  <si>
    <t>HACHETTE BOOK GROUP</t>
  </si>
  <si>
    <t>Beacon Street 1290</t>
  </si>
  <si>
    <t>Boston</t>
  </si>
  <si>
    <t>d.miller@hbgusa.com</t>
  </si>
  <si>
    <t>SM-10005</t>
  </si>
  <si>
    <t>SUP-105</t>
  </si>
  <si>
    <t>Macmillan Publishers</t>
  </si>
  <si>
    <t>MACMILLAN PUBLISHERS</t>
  </si>
  <si>
    <t>Broadway 120</t>
  </si>
  <si>
    <t>c.bennett@macmillan.com</t>
  </si>
  <si>
    <t>60 days net</t>
  </si>
  <si>
    <t>SM-10006</t>
  </si>
  <si>
    <t>SUP-106</t>
  </si>
  <si>
    <t>Oxford University Press</t>
  </si>
  <si>
    <t>OXFORD UNIVERSITY PRESS</t>
  </si>
  <si>
    <t>Great Clarendon St</t>
  </si>
  <si>
    <t>OX2 6DP</t>
  </si>
  <si>
    <t>Oxford</t>
  </si>
  <si>
    <t>UK</t>
  </si>
  <si>
    <t>a.pendelton@oup.com</t>
  </si>
  <si>
    <t>GBP</t>
  </si>
  <si>
    <t>SM-10007</t>
  </si>
  <si>
    <t>SUP-107</t>
  </si>
  <si>
    <t>Bloomsbury Publishing</t>
  </si>
  <si>
    <t>BLOOMSBURY PUBLISHING</t>
  </si>
  <si>
    <t>Bedford Square 50</t>
  </si>
  <si>
    <t>WC1B 3DP</t>
  </si>
  <si>
    <t>London</t>
  </si>
  <si>
    <t>fiona.g@bloomsbury.com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</si>
</sst>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.75" customHeight="1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>
        <v>10019.0</v>
      </c>
      <c r="G2" s="1" t="s">
        <v>19</v>
      </c>
      <c r="H2" s="1" t="s">
        <v>20</v>
      </c>
      <c r="I2" s="1" t="s">
        <v>21</v>
      </c>
      <c r="J2" s="1">
        <f>+1-202-555-143</f>
        <v>-899</v>
      </c>
      <c r="K2" s="1" t="s">
        <v>22</v>
      </c>
      <c r="L2" s="1" t="s">
        <v>23</v>
      </c>
      <c r="M2" s="1" t="s">
        <v>24</v>
      </c>
      <c r="N2" s="1" t="s">
        <v>25</v>
      </c>
    </row>
    <row r="3" ht="15.75" customHeight="1">
      <c r="A3" s="1" t="s">
        <v>26</v>
      </c>
      <c r="B3" s="1" t="s">
        <v>27</v>
      </c>
      <c r="C3" s="1" t="s">
        <v>28</v>
      </c>
      <c r="D3" s="1" t="s">
        <v>29</v>
      </c>
      <c r="E3" s="1" t="s">
        <v>30</v>
      </c>
      <c r="F3" s="1">
        <v>10007.0</v>
      </c>
      <c r="G3" s="1" t="s">
        <v>19</v>
      </c>
      <c r="H3" s="1" t="s">
        <v>20</v>
      </c>
      <c r="I3" s="1" t="s">
        <v>31</v>
      </c>
      <c r="J3" s="1">
        <f>+1-212-555-188</f>
        <v>-954</v>
      </c>
      <c r="K3" s="1" t="s">
        <v>22</v>
      </c>
      <c r="L3" s="1" t="s">
        <v>23</v>
      </c>
      <c r="M3" s="1" t="s">
        <v>24</v>
      </c>
      <c r="N3" s="1" t="s">
        <v>25</v>
      </c>
    </row>
    <row r="4" ht="15.75" customHeight="1">
      <c r="A4" s="1" t="s">
        <v>32</v>
      </c>
      <c r="B4" s="1" t="s">
        <v>33</v>
      </c>
      <c r="C4" s="1" t="s">
        <v>34</v>
      </c>
      <c r="D4" s="1" t="s">
        <v>35</v>
      </c>
      <c r="E4" s="1" t="s">
        <v>36</v>
      </c>
      <c r="F4" s="1">
        <v>10020.0</v>
      </c>
      <c r="G4" s="1" t="s">
        <v>19</v>
      </c>
      <c r="H4" s="1" t="s">
        <v>20</v>
      </c>
      <c r="I4" s="1" t="s">
        <v>37</v>
      </c>
      <c r="J4" s="1">
        <f>+1-212-555-192</f>
        <v>-958</v>
      </c>
      <c r="K4" s="1" t="s">
        <v>38</v>
      </c>
      <c r="L4" s="1" t="s">
        <v>23</v>
      </c>
      <c r="M4" s="1" t="s">
        <v>24</v>
      </c>
      <c r="N4" s="1" t="s">
        <v>25</v>
      </c>
    </row>
    <row r="5" ht="15.75" customHeight="1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>
        <v>2108.0</v>
      </c>
      <c r="G5" s="1" t="s">
        <v>44</v>
      </c>
      <c r="H5" s="1" t="s">
        <v>20</v>
      </c>
      <c r="I5" s="1" t="s">
        <v>45</v>
      </c>
      <c r="J5" s="1">
        <f>+1-212-555-115</f>
        <v>-881</v>
      </c>
      <c r="K5" s="1" t="s">
        <v>22</v>
      </c>
      <c r="L5" s="1" t="s">
        <v>23</v>
      </c>
      <c r="M5" s="1" t="s">
        <v>24</v>
      </c>
      <c r="N5" s="1" t="s">
        <v>25</v>
      </c>
    </row>
    <row r="6" ht="15.75" customHeight="1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>
        <v>10271.0</v>
      </c>
      <c r="G6" s="1" t="s">
        <v>19</v>
      </c>
      <c r="H6" s="1" t="s">
        <v>20</v>
      </c>
      <c r="I6" s="1" t="s">
        <v>51</v>
      </c>
      <c r="J6" s="1">
        <f>+1-646-555-174</f>
        <v>-1374</v>
      </c>
      <c r="K6" s="1" t="s">
        <v>52</v>
      </c>
      <c r="L6" s="1" t="s">
        <v>23</v>
      </c>
      <c r="M6" s="1" t="s">
        <v>24</v>
      </c>
      <c r="N6" s="1" t="s">
        <v>25</v>
      </c>
    </row>
    <row r="7" ht="15.75" customHeight="1">
      <c r="A7" s="1" t="s">
        <v>53</v>
      </c>
      <c r="B7" s="1" t="s">
        <v>54</v>
      </c>
      <c r="C7" s="1" t="s">
        <v>55</v>
      </c>
      <c r="D7" s="1" t="s">
        <v>56</v>
      </c>
      <c r="E7" s="1" t="s">
        <v>57</v>
      </c>
      <c r="F7" s="1" t="s">
        <v>58</v>
      </c>
      <c r="G7" s="1" t="s">
        <v>59</v>
      </c>
      <c r="H7" s="1" t="s">
        <v>60</v>
      </c>
      <c r="I7" s="1" t="s">
        <v>61</v>
      </c>
      <c r="J7" s="1">
        <f>+44-1865-556789</f>
        <v>-558610</v>
      </c>
      <c r="K7" s="1" t="s">
        <v>22</v>
      </c>
      <c r="L7" s="1" t="s">
        <v>62</v>
      </c>
      <c r="M7" s="1" t="s">
        <v>24</v>
      </c>
      <c r="N7" s="1" t="s">
        <v>25</v>
      </c>
    </row>
    <row r="8" ht="15.75" customHeight="1">
      <c r="A8" s="1" t="s">
        <v>63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69</v>
      </c>
      <c r="H8" s="1" t="s">
        <v>60</v>
      </c>
      <c r="I8" s="1" t="s">
        <v>70</v>
      </c>
      <c r="J8" s="1">
        <f>+44-20-7631-5600</f>
        <v>-13207</v>
      </c>
      <c r="K8" s="1" t="s">
        <v>22</v>
      </c>
      <c r="L8" s="1" t="s">
        <v>62</v>
      </c>
      <c r="M8" s="1" t="s">
        <v>24</v>
      </c>
      <c r="N8" s="1" t="s">
        <v>25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